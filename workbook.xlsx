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 Nau\Downloads\"/>
    </mc:Choice>
  </mc:AlternateContent>
  <bookViews>
    <workbookView xWindow="0" yWindow="0" windowWidth="6975" windowHeight="5460"/>
  </bookViews>
  <sheets>
    <sheet name="Hoja1" sheetId="1" r:id="rId1"/>
    <sheet name="modelo columnar" sheetId="2" r:id="rId2"/>
    <sheet name="modelo de registros" sheetId="4" r:id="rId3"/>
    <sheet name="TRUQUITOS" sheetId="3" r:id="rId4"/>
  </sheets>
  <definedNames>
    <definedName name="_xlnm._FilterDatabase" localSheetId="2" hidden="1">'modelo de registros'!$A$1:$D$3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J7" i="1"/>
  <c r="J6" i="1"/>
  <c r="E26" i="4" l="1"/>
</calcChain>
</file>

<file path=xl/sharedStrings.xml><?xml version="1.0" encoding="utf-8"?>
<sst xmlns="http://schemas.openxmlformats.org/spreadsheetml/2006/main" count="63" uniqueCount="35">
  <si>
    <t>Backlog</t>
  </si>
  <si>
    <t>Task</t>
  </si>
  <si>
    <t>Owner</t>
  </si>
  <si>
    <t>Status</t>
  </si>
  <si>
    <t>Data</t>
  </si>
  <si>
    <t>Prioridade</t>
  </si>
  <si>
    <t>Gravar curso excel</t>
  </si>
  <si>
    <t>Stuck</t>
  </si>
  <si>
    <t>In Progress</t>
  </si>
  <si>
    <t>Done</t>
  </si>
  <si>
    <t>Total de actividades</t>
  </si>
  <si>
    <t>Actividades concluidas</t>
  </si>
  <si>
    <t>Editar videos</t>
  </si>
  <si>
    <t>DATA DA OPERAÇÃO</t>
  </si>
  <si>
    <t xml:space="preserve">ctrl + ; </t>
  </si>
  <si>
    <t>fecha actual</t>
  </si>
  <si>
    <t>fn + f4</t>
  </si>
  <si>
    <t>QUANTIDADE COMPRADA</t>
  </si>
  <si>
    <t>VALOR PAGO POR AÇÃO</t>
  </si>
  <si>
    <t>AÇÃO</t>
  </si>
  <si>
    <t>AAPL34</t>
  </si>
  <si>
    <t>APPL34</t>
  </si>
  <si>
    <t>NVDC34</t>
  </si>
  <si>
    <t>ATVI34</t>
  </si>
  <si>
    <t>EL OTRO MODELO, QUE SERÍA TABLA DE REGISTROS, ES MEJOR PARA ALMACENAR Y REGISTRAR UNA MASA DE DATOS</t>
  </si>
  <si>
    <t>ESTE MODELO COLUMNAR ES MUY VISUAL Y PRÁCTICO, NO ES LA MEJOR MANERA PARA ALMACENAR LOS DATOS PERO SÍ PARA VISUALIZAR DATOS. AUNQUE ES IMPORTANTE NO TENER MUCHA INFORMACIÓN PARA QUE NO COMIENCE A SER COMPLICADO DE VISUALIZAR Y ENTENDER</t>
  </si>
  <si>
    <t xml:space="preserve">ctrl + alt + v </t>
  </si>
  <si>
    <t>pegado especial</t>
  </si>
  <si>
    <t>fijar celdas ($)</t>
  </si>
  <si>
    <t>si quiero copiar y pegar algo sin la fórmula, por ejemplo solo el valor final</t>
  </si>
  <si>
    <t xml:space="preserve"> </t>
  </si>
  <si>
    <t>ctrl + x</t>
  </si>
  <si>
    <t>si quiero mover unos datos en lugar de copiarlos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</si>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</sst>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¥&quot;* #,##0.00_ ;_ &quot;¥&quot;* \-#,##0.00_ ;_ &quot;¥&quot;* &quot;-&quot;??_ ;_ @_ "/>
    <numFmt numFmtId="164" formatCode="[$-40A]d&quot; de &quot;mmmm&quot; de &quot;yyyy;@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8"/>
      <color theme="3"/>
      <name val="Segoe UI"/>
      <family val="2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3" fillId="0" borderId="0" applyFon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0" fillId="4" borderId="2" xfId="0" applyFill="1" applyBorder="1"/>
    <xf numFmtId="0" fontId="0" fillId="2" borderId="2" xfId="0" applyFill="1" applyBorder="1"/>
    <xf numFmtId="0" fontId="1" fillId="0" borderId="1" xfId="1"/>
    <xf numFmtId="0" fontId="2" fillId="0" borderId="1" xfId="1" applyFont="1" applyAlignment="1">
      <alignment horizontal="center" vertical="center"/>
    </xf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/>
    <xf numFmtId="14" fontId="0" fillId="0" borderId="0" xfId="0" applyNumberFormat="1"/>
    <xf numFmtId="0" fontId="4" fillId="5" borderId="0" xfId="0" applyFont="1" applyFill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3" xfId="0" applyFont="1" applyFill="1" applyBorder="1" applyAlignment="1">
      <alignment horizontal="center"/>
    </xf>
    <xf numFmtId="1" fontId="0" fillId="6" borderId="3" xfId="0" applyNumberFormat="1" applyFont="1" applyFill="1" applyBorder="1" applyAlignment="1">
      <alignment horizontal="center"/>
    </xf>
    <xf numFmtId="165" fontId="0" fillId="6" borderId="3" xfId="2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1" fontId="0" fillId="0" borderId="3" xfId="0" applyNumberFormat="1" applyFont="1" applyBorder="1" applyAlignment="1">
      <alignment horizontal="center"/>
    </xf>
    <xf numFmtId="165" fontId="0" fillId="0" borderId="3" xfId="2" applyNumberFormat="1" applyFont="1" applyBorder="1" applyAlignment="1">
      <alignment horizontal="center" vertical="center"/>
    </xf>
    <xf numFmtId="14" fontId="0" fillId="6" borderId="3" xfId="0" applyNumberFormat="1" applyFon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65" fontId="0" fillId="6" borderId="3" xfId="0" applyNumberFormat="1" applyFont="1" applyFill="1" applyBorder="1"/>
    <xf numFmtId="165" fontId="0" fillId="0" borderId="3" xfId="0" applyNumberFormat="1" applyFont="1" applyBorder="1"/>
    <xf numFmtId="0" fontId="5" fillId="5" borderId="0" xfId="0" applyFont="1" applyFill="1" applyBorder="1"/>
    <xf numFmtId="0" fontId="5" fillId="5" borderId="0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5" xfId="0" applyNumberFormat="1" applyFont="1" applyBorder="1" applyAlignment="1">
      <alignment horizontal="center" vertical="center"/>
    </xf>
    <xf numFmtId="165" fontId="6" fillId="0" borderId="6" xfId="0" applyNumberFormat="1" applyFont="1" applyBorder="1"/>
  </cellXfs>
  <cellStyles count="3">
    <cellStyle name="Moneda" xfId="2" builtinId="4"/>
    <cellStyle name="Normal" xfId="0" builtinId="0"/>
    <cellStyle name="Título 2" xfId="1" builtinId="17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/d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double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1" displayName="Tabla1" ref="A1:E25" totalsRowShown="0" headerRowDxfId="6" tableBorderDxfId="5">
  <autoFilter ref="A1:E25"/>
  <tableColumns count="5">
    <tableColumn id="1" name="DATA DA OPERAÇÃO" dataDxfId="4"/>
    <tableColumn id="2" name="AÇÃO" dataDxfId="3"/>
    <tableColumn id="3" name="QUANTIDADE COMPRADA" dataDxfId="2"/>
    <tableColumn id="4" name="VALOR PAGO POR AÇÃO" dataDxfId="1" dataCellStyle="Moneda"/>
    <tableColumn id="5" name="TOTAL" dataDxfId="0">
      <calculatedColumnFormula>'modelo de registros'!$C2*'modelo de registros'!$D2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showGridLines="0" tabSelected="1" zoomScale="74" workbookViewId="0">
      <selection activeCell="E12" sqref="E12"/>
    </sheetView>
  </sheetViews>
  <sheetFormatPr baseColWidth="10" defaultRowHeight="15"/>
  <cols>
    <col min="2" max="2" width="2.140625" customWidth="1"/>
    <col min="3" max="3" width="21.140625" customWidth="1"/>
    <col min="4" max="4" width="10.28515625" customWidth="1"/>
    <col min="5" max="5" width="13.28515625" customWidth="1"/>
    <col min="6" max="6" width="24.42578125" bestFit="1" customWidth="1"/>
    <col min="9" max="9" width="23" customWidth="1"/>
    <col min="10" max="10" width="11.85546875" bestFit="1" customWidth="1"/>
  </cols>
  <sheetData>
    <row r="1" spans="2:10" s="1" customFormat="1"/>
    <row r="4" spans="2:10" ht="39.75" customHeight="1" thickBot="1">
      <c r="B4" s="4" t="s">
        <v>0</v>
      </c>
      <c r="C4" s="4"/>
      <c r="D4" s="4"/>
      <c r="E4" s="4"/>
      <c r="F4" s="4"/>
      <c r="G4" s="4"/>
    </row>
    <row r="5" spans="2:10" ht="14.25" customHeight="1" thickTop="1" thickBot="1">
      <c r="B5" s="4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</row>
    <row r="6" spans="2:10" ht="16.5" thickTop="1" thickBot="1">
      <c r="B6" s="2"/>
      <c r="C6" s="3" t="s">
        <v>6</v>
      </c>
      <c r="D6" s="3"/>
      <c r="E6" s="6" t="s">
        <v>9</v>
      </c>
      <c r="F6" s="7">
        <v>44129</v>
      </c>
      <c r="G6" s="6">
        <v>4</v>
      </c>
      <c r="I6" t="s">
        <v>10</v>
      </c>
      <c r="J6">
        <f>COUNTA(C6:C15)</f>
        <v>2</v>
      </c>
    </row>
    <row r="7" spans="2:10" ht="16.5" thickTop="1" thickBot="1">
      <c r="B7" s="2"/>
      <c r="C7" s="3"/>
      <c r="D7" s="3"/>
      <c r="E7" s="6" t="s">
        <v>8</v>
      </c>
      <c r="F7" s="7"/>
      <c r="G7" s="6"/>
      <c r="I7" t="s">
        <v>11</v>
      </c>
      <c r="J7">
        <f>COUNTIF(E6:E15, "done")</f>
        <v>2</v>
      </c>
    </row>
    <row r="8" spans="2:10" ht="16.5" thickTop="1" thickBot="1">
      <c r="B8" s="2"/>
      <c r="C8" s="3"/>
      <c r="D8" s="3"/>
      <c r="E8" s="6" t="s">
        <v>7</v>
      </c>
      <c r="F8" s="7">
        <v>44158</v>
      </c>
      <c r="G8" s="6">
        <v>1</v>
      </c>
    </row>
    <row r="9" spans="2:10" ht="16.5" thickTop="1" thickBot="1">
      <c r="B9" s="2"/>
      <c r="C9" s="3" t="s">
        <v>12</v>
      </c>
      <c r="D9" s="3"/>
      <c r="E9" s="6"/>
      <c r="F9" s="7"/>
      <c r="G9" s="6"/>
    </row>
    <row r="10" spans="2:10" ht="16.5" thickTop="1" thickBot="1">
      <c r="B10" s="2"/>
      <c r="C10" s="3"/>
      <c r="D10" s="3"/>
      <c r="E10" s="6"/>
      <c r="F10" s="7"/>
      <c r="G10" s="6"/>
    </row>
    <row r="11" spans="2:10" ht="16.5" thickTop="1" thickBot="1">
      <c r="B11" s="2"/>
      <c r="C11" s="3"/>
      <c r="D11" s="3"/>
      <c r="E11" s="6"/>
      <c r="F11" s="7"/>
      <c r="G11" s="6"/>
    </row>
    <row r="12" spans="2:10" ht="16.5" thickTop="1" thickBot="1">
      <c r="B12" s="2"/>
      <c r="C12" s="3"/>
      <c r="D12" s="3"/>
      <c r="E12" s="6" t="s">
        <v>9</v>
      </c>
      <c r="F12" s="7"/>
      <c r="G12" s="6"/>
    </row>
    <row r="13" spans="2:10" ht="16.5" thickTop="1" thickBot="1">
      <c r="B13" s="2"/>
      <c r="C13" s="3"/>
      <c r="D13" s="3"/>
      <c r="E13" s="6"/>
      <c r="F13" s="7"/>
      <c r="G13" s="6"/>
    </row>
    <row r="14" spans="2:10" ht="16.5" thickTop="1" thickBot="1">
      <c r="B14" s="2"/>
      <c r="C14" s="3"/>
      <c r="D14" s="3"/>
      <c r="E14" s="6"/>
      <c r="F14" s="7"/>
      <c r="G14" s="6"/>
    </row>
    <row r="15" spans="2:10" ht="16.5" thickTop="1" thickBot="1">
      <c r="B15" s="2"/>
      <c r="C15" s="3"/>
      <c r="D15" s="3"/>
      <c r="E15" s="6"/>
      <c r="F15" s="7"/>
      <c r="G15" s="6"/>
    </row>
    <row r="16" spans="2:10" ht="15.75" thickTop="1"/>
  </sheetData>
  <conditionalFormatting sqref="E6:E15">
    <cfRule type="expression" dxfId="9" priority="2">
      <formula>$E6="Stuck"</formula>
    </cfRule>
    <cfRule type="expression" dxfId="8" priority="3">
      <formula>$E6="In Progress"</formula>
    </cfRule>
    <cfRule type="expression" dxfId="7" priority="4">
      <formula>$E6="Done"</formula>
    </cfRule>
  </conditionalFormatting>
  <conditionalFormatting sqref="G6:G15">
    <cfRule type="iconSet" priority="1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6:E15">
      <formula1>"Stuck,In Progress,Done"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76" workbookViewId="0">
      <selection activeCell="C20" sqref="C20"/>
    </sheetView>
  </sheetViews>
  <sheetFormatPr baseColWidth="10" defaultRowHeight="15"/>
  <cols>
    <col min="1" max="1" width="24" bestFit="1" customWidth="1"/>
  </cols>
  <sheetData>
    <row r="1" spans="1:11">
      <c r="A1" s="9" t="s">
        <v>13</v>
      </c>
      <c r="B1" s="8">
        <v>46055</v>
      </c>
      <c r="C1" s="8">
        <v>46056</v>
      </c>
      <c r="D1" s="8">
        <v>46057</v>
      </c>
      <c r="E1" s="8">
        <v>46058</v>
      </c>
      <c r="F1" s="8">
        <v>46059</v>
      </c>
      <c r="G1" s="8">
        <v>46060</v>
      </c>
      <c r="H1" s="8">
        <v>46061</v>
      </c>
      <c r="I1" s="8">
        <v>46062</v>
      </c>
      <c r="J1" s="8">
        <v>46063</v>
      </c>
      <c r="K1" s="8">
        <v>46064</v>
      </c>
    </row>
    <row r="2" spans="1:11">
      <c r="A2" t="s">
        <v>17</v>
      </c>
      <c r="B2" s="10">
        <v>1</v>
      </c>
      <c r="C2" s="10">
        <v>2</v>
      </c>
      <c r="D2" s="10">
        <v>1</v>
      </c>
      <c r="E2" s="10"/>
      <c r="F2" s="10"/>
      <c r="G2" s="10"/>
      <c r="H2" s="10"/>
      <c r="I2" s="10"/>
      <c r="J2" s="10"/>
      <c r="K2" s="10"/>
    </row>
    <row r="3" spans="1:11">
      <c r="A3" t="s">
        <v>18</v>
      </c>
      <c r="B3" s="12">
        <v>10.92</v>
      </c>
      <c r="C3" s="12">
        <v>10.97</v>
      </c>
      <c r="D3" s="12">
        <v>10.91</v>
      </c>
      <c r="E3" s="12"/>
      <c r="F3" s="12"/>
      <c r="G3" s="12"/>
      <c r="H3" s="12"/>
      <c r="I3" s="12"/>
      <c r="J3" s="12"/>
      <c r="K3" s="12"/>
    </row>
    <row r="4" spans="1:11">
      <c r="A4" t="s">
        <v>19</v>
      </c>
      <c r="B4" s="11" t="s">
        <v>21</v>
      </c>
      <c r="C4" s="11" t="s">
        <v>22</v>
      </c>
      <c r="D4" s="11" t="s">
        <v>23</v>
      </c>
      <c r="E4" s="11"/>
      <c r="F4" s="11"/>
      <c r="G4" s="11"/>
      <c r="H4" s="11"/>
      <c r="I4" s="11"/>
      <c r="J4" s="11"/>
      <c r="K4" s="11"/>
    </row>
    <row r="7" spans="1:11">
      <c r="B7" t="s">
        <v>25</v>
      </c>
    </row>
    <row r="9" spans="1:11">
      <c r="B9" t="s">
        <v>24</v>
      </c>
    </row>
  </sheetData>
  <dataValidations count="1">
    <dataValidation type="list" allowBlank="1" showInputMessage="1" showErrorMessage="1" sqref="B4:K4">
      <formula1>"APPL34,ATVI34,NVDC34"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="62" zoomScaleNormal="62" workbookViewId="0">
      <selection activeCell="A11" sqref="A11"/>
    </sheetView>
  </sheetViews>
  <sheetFormatPr baseColWidth="10" defaultRowHeight="15"/>
  <cols>
    <col min="1" max="1" width="21.28515625" customWidth="1"/>
    <col min="2" max="2" width="11.42578125" style="13"/>
    <col min="3" max="3" width="26.140625" customWidth="1"/>
    <col min="4" max="4" width="24.5703125" customWidth="1"/>
  </cols>
  <sheetData>
    <row r="1" spans="1:7">
      <c r="A1" s="24" t="s">
        <v>13</v>
      </c>
      <c r="B1" s="25" t="s">
        <v>19</v>
      </c>
      <c r="C1" s="24" t="s">
        <v>17</v>
      </c>
      <c r="D1" s="24" t="s">
        <v>18</v>
      </c>
      <c r="E1" s="24" t="s">
        <v>33</v>
      </c>
    </row>
    <row r="2" spans="1:7">
      <c r="A2" s="20">
        <v>46055</v>
      </c>
      <c r="B2" s="14" t="s">
        <v>20</v>
      </c>
      <c r="C2" s="15">
        <v>1</v>
      </c>
      <c r="D2" s="16">
        <v>10.92</v>
      </c>
      <c r="E2" s="22">
        <f>'modelo de registros'!$C2*'modelo de registros'!$D2</f>
        <v>10.92</v>
      </c>
    </row>
    <row r="3" spans="1:7">
      <c r="A3" s="21">
        <v>46055</v>
      </c>
      <c r="B3" s="17" t="s">
        <v>22</v>
      </c>
      <c r="C3" s="18">
        <v>2</v>
      </c>
      <c r="D3" s="19">
        <v>19.899999999999999</v>
      </c>
      <c r="E3" s="23">
        <f>'modelo de registros'!$C3*'modelo de registros'!$D3</f>
        <v>39.799999999999997</v>
      </c>
    </row>
    <row r="4" spans="1:7">
      <c r="A4" s="20">
        <v>46056</v>
      </c>
      <c r="B4" s="14" t="s">
        <v>20</v>
      </c>
      <c r="C4" s="15">
        <v>2</v>
      </c>
      <c r="D4" s="16">
        <v>15</v>
      </c>
      <c r="E4" s="22">
        <f>'modelo de registros'!$C4*'modelo de registros'!$D4</f>
        <v>30</v>
      </c>
    </row>
    <row r="5" spans="1:7">
      <c r="A5" s="21">
        <v>46057</v>
      </c>
      <c r="B5" s="17" t="s">
        <v>20</v>
      </c>
      <c r="C5" s="18">
        <v>3</v>
      </c>
      <c r="D5" s="19">
        <v>13</v>
      </c>
      <c r="E5" s="23">
        <f>'modelo de registros'!$C5*'modelo de registros'!$D5</f>
        <v>39</v>
      </c>
    </row>
    <row r="6" spans="1:7">
      <c r="A6" s="20">
        <v>46058</v>
      </c>
      <c r="B6" s="14" t="s">
        <v>22</v>
      </c>
      <c r="C6" s="15">
        <v>1</v>
      </c>
      <c r="D6" s="16">
        <v>12</v>
      </c>
      <c r="E6" s="22">
        <f>'modelo de registros'!$C6*'modelo de registros'!$D6</f>
        <v>12</v>
      </c>
    </row>
    <row r="7" spans="1:7">
      <c r="A7" s="21">
        <v>46059</v>
      </c>
      <c r="B7" s="17" t="s">
        <v>20</v>
      </c>
      <c r="C7" s="18">
        <v>1</v>
      </c>
      <c r="D7" s="19">
        <v>13</v>
      </c>
      <c r="E7" s="23">
        <f>'modelo de registros'!$C7*'modelo de registros'!$D7</f>
        <v>13</v>
      </c>
    </row>
    <row r="8" spans="1:7">
      <c r="A8" s="20">
        <v>46060</v>
      </c>
      <c r="B8" s="14" t="s">
        <v>22</v>
      </c>
      <c r="C8" s="15">
        <v>3</v>
      </c>
      <c r="D8" s="16">
        <v>15</v>
      </c>
      <c r="E8" s="22">
        <f>'modelo de registros'!$C8*'modelo de registros'!$D8</f>
        <v>45</v>
      </c>
    </row>
    <row r="9" spans="1:7">
      <c r="A9" s="21">
        <v>46061</v>
      </c>
      <c r="B9" s="17" t="s">
        <v>20</v>
      </c>
      <c r="C9" s="18">
        <v>2</v>
      </c>
      <c r="D9" s="19">
        <v>12</v>
      </c>
      <c r="E9" s="23">
        <f>'modelo de registros'!$C9*'modelo de registros'!$D9</f>
        <v>24</v>
      </c>
    </row>
    <row r="10" spans="1:7">
      <c r="A10" s="20">
        <v>46062</v>
      </c>
      <c r="B10" s="14" t="s">
        <v>20</v>
      </c>
      <c r="C10" s="15">
        <v>3</v>
      </c>
      <c r="D10" s="16">
        <v>14</v>
      </c>
      <c r="E10" s="22">
        <f>'modelo de registros'!$C10*'modelo de registros'!$D10</f>
        <v>42</v>
      </c>
    </row>
    <row r="11" spans="1:7">
      <c r="A11" s="21">
        <v>46063</v>
      </c>
      <c r="B11" s="17" t="s">
        <v>20</v>
      </c>
      <c r="C11" s="18">
        <v>2</v>
      </c>
      <c r="D11" s="19">
        <v>12</v>
      </c>
      <c r="E11" s="23">
        <f>'modelo de registros'!$C11*'modelo de registros'!$D11</f>
        <v>24</v>
      </c>
      <c r="G11" t="s">
        <v>30</v>
      </c>
    </row>
    <row r="12" spans="1:7">
      <c r="A12" s="20">
        <v>46064</v>
      </c>
      <c r="B12" s="14" t="s">
        <v>22</v>
      </c>
      <c r="C12" s="15">
        <v>3</v>
      </c>
      <c r="D12" s="16">
        <v>14</v>
      </c>
      <c r="E12" s="22">
        <f>'modelo de registros'!$C12*'modelo de registros'!$D12</f>
        <v>42</v>
      </c>
    </row>
    <row r="13" spans="1:7">
      <c r="A13" s="21">
        <v>46065</v>
      </c>
      <c r="B13" s="17" t="s">
        <v>20</v>
      </c>
      <c r="C13" s="18">
        <v>1</v>
      </c>
      <c r="D13" s="19">
        <v>11</v>
      </c>
      <c r="E13" s="23">
        <f>'modelo de registros'!$C13*'modelo de registros'!$D13</f>
        <v>11</v>
      </c>
    </row>
    <row r="14" spans="1:7">
      <c r="A14" s="20">
        <v>46066</v>
      </c>
      <c r="B14" s="14" t="s">
        <v>22</v>
      </c>
      <c r="C14" s="15">
        <v>2</v>
      </c>
      <c r="D14" s="16">
        <v>11</v>
      </c>
      <c r="E14" s="22">
        <f>'modelo de registros'!$C14*'modelo de registros'!$D14</f>
        <v>22</v>
      </c>
    </row>
    <row r="15" spans="1:7">
      <c r="A15" s="21">
        <v>46067</v>
      </c>
      <c r="B15" s="17" t="s">
        <v>20</v>
      </c>
      <c r="C15" s="18">
        <v>1</v>
      </c>
      <c r="D15" s="19">
        <v>13</v>
      </c>
      <c r="E15" s="23">
        <f>'modelo de registros'!$C15*'modelo de registros'!$D15</f>
        <v>13</v>
      </c>
    </row>
    <row r="16" spans="1:7">
      <c r="A16" s="20">
        <v>46068</v>
      </c>
      <c r="B16" s="14" t="s">
        <v>22</v>
      </c>
      <c r="C16" s="15">
        <v>2</v>
      </c>
      <c r="D16" s="16">
        <v>14</v>
      </c>
      <c r="E16" s="22">
        <f>'modelo de registros'!$C16*'modelo de registros'!$D16</f>
        <v>28</v>
      </c>
    </row>
    <row r="17" spans="1:5">
      <c r="A17" s="21">
        <v>46069</v>
      </c>
      <c r="B17" s="17" t="s">
        <v>20</v>
      </c>
      <c r="C17" s="18">
        <v>1</v>
      </c>
      <c r="D17" s="19">
        <v>14</v>
      </c>
      <c r="E17" s="23">
        <f>'modelo de registros'!$C17*'modelo de registros'!$D17</f>
        <v>14</v>
      </c>
    </row>
    <row r="18" spans="1:5">
      <c r="A18" s="20">
        <v>46070</v>
      </c>
      <c r="B18" s="14" t="s">
        <v>22</v>
      </c>
      <c r="C18" s="15">
        <v>1</v>
      </c>
      <c r="D18" s="16">
        <v>15</v>
      </c>
      <c r="E18" s="22">
        <f>'modelo de registros'!$C18*'modelo de registros'!$D18</f>
        <v>15</v>
      </c>
    </row>
    <row r="19" spans="1:5">
      <c r="A19" s="21">
        <v>46071</v>
      </c>
      <c r="B19" s="17" t="s">
        <v>22</v>
      </c>
      <c r="C19" s="18">
        <v>2</v>
      </c>
      <c r="D19" s="19">
        <v>11</v>
      </c>
      <c r="E19" s="23">
        <f>'modelo de registros'!$C19*'modelo de registros'!$D19</f>
        <v>22</v>
      </c>
    </row>
    <row r="20" spans="1:5">
      <c r="A20" s="20">
        <v>46072</v>
      </c>
      <c r="B20" s="14" t="s">
        <v>22</v>
      </c>
      <c r="C20" s="15">
        <v>2</v>
      </c>
      <c r="D20" s="16">
        <v>14</v>
      </c>
      <c r="E20" s="22">
        <f>'modelo de registros'!$C20*'modelo de registros'!$D20</f>
        <v>28</v>
      </c>
    </row>
    <row r="21" spans="1:5">
      <c r="A21" s="21">
        <v>46073</v>
      </c>
      <c r="B21" s="17" t="s">
        <v>20</v>
      </c>
      <c r="C21" s="18">
        <v>3</v>
      </c>
      <c r="D21" s="19">
        <v>15</v>
      </c>
      <c r="E21" s="23">
        <f>'modelo de registros'!$C21*'modelo de registros'!$D21</f>
        <v>45</v>
      </c>
    </row>
    <row r="22" spans="1:5">
      <c r="A22" s="20">
        <v>46074</v>
      </c>
      <c r="B22" s="14" t="s">
        <v>20</v>
      </c>
      <c r="C22" s="15">
        <v>3</v>
      </c>
      <c r="D22" s="16">
        <v>15</v>
      </c>
      <c r="E22" s="22">
        <f>'modelo de registros'!$C22*'modelo de registros'!$D22</f>
        <v>45</v>
      </c>
    </row>
    <row r="23" spans="1:5">
      <c r="A23" s="21">
        <v>46075</v>
      </c>
      <c r="B23" s="17" t="s">
        <v>22</v>
      </c>
      <c r="C23" s="18">
        <v>2</v>
      </c>
      <c r="D23" s="19">
        <v>12</v>
      </c>
      <c r="E23" s="23">
        <f>'modelo de registros'!$C23*'modelo de registros'!$D23</f>
        <v>24</v>
      </c>
    </row>
    <row r="24" spans="1:5">
      <c r="A24" s="20">
        <v>46076</v>
      </c>
      <c r="B24" s="14" t="s">
        <v>20</v>
      </c>
      <c r="C24" s="15">
        <v>3</v>
      </c>
      <c r="D24" s="16">
        <v>11</v>
      </c>
      <c r="E24" s="22">
        <f>'modelo de registros'!$C24*'modelo de registros'!$D24</f>
        <v>33</v>
      </c>
    </row>
    <row r="25" spans="1:5">
      <c r="A25" s="21">
        <v>46077</v>
      </c>
      <c r="B25" s="17" t="s">
        <v>22</v>
      </c>
      <c r="C25" s="18">
        <v>1</v>
      </c>
      <c r="D25" s="19">
        <v>13</v>
      </c>
      <c r="E25" s="23">
        <f>'modelo de registros'!$C25*'modelo de registros'!$D25</f>
        <v>13</v>
      </c>
    </row>
    <row r="26" spans="1:5">
      <c r="A26" s="26" t="s">
        <v>34</v>
      </c>
      <c r="B26" s="27"/>
      <c r="C26" s="27"/>
      <c r="D26" s="28"/>
      <c r="E26" s="29">
        <f>SUBTOTAL(109,'modelo de registros'!$E$2:$E$25)</f>
        <v>634.72</v>
      </c>
    </row>
  </sheetData>
  <dataValidations count="1">
    <dataValidation type="list" allowBlank="1" showInputMessage="1" showErrorMessage="1" sqref="B2:B25">
      <formula1>"AAPL34,NVDC34,ATVI34"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5" sqref="B15"/>
    </sheetView>
  </sheetViews>
  <sheetFormatPr baseColWidth="10" defaultRowHeight="15"/>
  <cols>
    <col min="2" max="2" width="18.5703125" customWidth="1"/>
  </cols>
  <sheetData>
    <row r="1" spans="1:3">
      <c r="A1" t="s">
        <v>14</v>
      </c>
      <c r="B1" t="s">
        <v>15</v>
      </c>
    </row>
    <row r="2" spans="1:3">
      <c r="A2" t="s">
        <v>16</v>
      </c>
      <c r="B2" t="s">
        <v>28</v>
      </c>
    </row>
    <row r="3" spans="1:3">
      <c r="A3" t="s">
        <v>26</v>
      </c>
      <c r="B3" t="s">
        <v>27</v>
      </c>
      <c r="C3" t="s">
        <v>29</v>
      </c>
    </row>
    <row r="4" spans="1:3">
      <c r="A4" t="s">
        <v>31</v>
      </c>
      <c r="B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modelo columnar</vt:lpstr>
      <vt:lpstr>modelo de registros</vt:lpstr>
      <vt:lpstr>TRUQUITOS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Nau</dc:creator>
  <cp:lastModifiedBy>La Nau</cp:lastModifiedBy>
  <dcterms:created xsi:type="dcterms:W3CDTF">2026-01-28T11:00:10Z</dcterms:created>
  <dcterms:modified xsi:type="dcterms:W3CDTF">2026-02-05T12:01:03Z</dcterms:modified>
</cp:coreProperties>
</file>