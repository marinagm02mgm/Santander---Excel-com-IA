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 Nau\Downloads\"/>
    </mc:Choice>
  </mc:AlternateContent>
  <bookViews>
    <workbookView xWindow="0" yWindow="0" windowWidth="13410" windowHeight="4860"/>
  </bookViews>
  <sheets>
    <sheet name="Controle" sheetId="1" r:id="rId1"/>
    <sheet name="Tabela de apoio" sheetId="3" r:id="rId2"/>
    <sheet name="TRUQUITOS" sheetId="2" r:id="rId3"/>
  </sheets>
  <definedNames>
    <definedName name="aporte">Controle!$D$17</definedName>
    <definedName name="patrimonio">Controle!$D$20</definedName>
    <definedName name="qtd_anos">Controle!$D$18</definedName>
    <definedName name="rendimento_carteira">Controle!$D$13</definedName>
    <definedName name="salario">Controle!$D$12</definedName>
    <definedName name="sugestão_investimento">Controle!$D$14</definedName>
    <definedName name="taxa_mensal">Controle!$D$19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  <c r="D14" i="1"/>
  <c r="C39" i="1"/>
  <c r="C40" i="1"/>
  <c r="C41" i="1"/>
  <c r="C36" i="1"/>
  <c r="C37" i="1"/>
  <c r="C38" i="1"/>
  <c r="H4" i="3"/>
  <c r="A9" i="3"/>
  <c r="A10" i="3"/>
  <c r="A11" i="3"/>
  <c r="A12" i="3"/>
  <c r="A13" i="3"/>
  <c r="A14" i="3"/>
  <c r="A15" i="3"/>
  <c r="A16" i="3"/>
  <c r="A17" i="3"/>
  <c r="A18" i="3"/>
  <c r="A19" i="3"/>
  <c r="A20" i="3"/>
  <c r="A4" i="3"/>
  <c r="A5" i="3"/>
  <c r="A6" i="3"/>
  <c r="A7" i="3"/>
  <c r="A8" i="3"/>
  <c r="A3" i="3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38" i="1" l="1"/>
  <c r="D37" i="1"/>
  <c r="D36" i="1"/>
  <c r="D41" i="1"/>
  <c r="D40" i="1"/>
  <c r="D39" i="1"/>
</calcChain>
</file>

<file path=xl/sharedStrings.xml><?xml version="1.0" encoding="utf-8"?>
<sst xmlns="http://schemas.openxmlformats.org/spreadsheetml/2006/main" count="75" uniqueCount="41">
  <si>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</si>
  <si>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</si>
  <si>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</si>
  <si>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</si>
  <si>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</si>
  <si>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</si>
  <si>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 xml:space="preserve"> 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</si>
  <si>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</si>
  <si>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</si>
  <si>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</si>
  <si>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</si>
  <si>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</si>
  <si>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</si>
  <si>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</si>
  <si>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</si>
  <si>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</si>
  <si>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ctrl + f3</t>
  </si>
  <si>
    <t>para abrir el administrador de nombres de celdas y tablas</t>
  </si>
  <si>
    <t>CONFIGURAÇÕES</t>
  </si>
  <si>
    <t>Perfil</t>
  </si>
  <si>
    <t>VALOR A SER INVESTIDO POR MÊS</t>
  </si>
  <si>
    <t>TIPO DE FII</t>
  </si>
  <si>
    <t>PAPEL</t>
  </si>
  <si>
    <t>Percentual Sugestão</t>
  </si>
  <si>
    <t>Valores</t>
  </si>
  <si>
    <t>TIJOLO</t>
  </si>
  <si>
    <t>HÍBRIDOS</t>
  </si>
  <si>
    <t>FOFs</t>
  </si>
  <si>
    <t>DESENVOLVIMENTO</t>
  </si>
  <si>
    <t>HOTELARIAS</t>
  </si>
  <si>
    <t>PERFIL</t>
  </si>
  <si>
    <t>Conservador</t>
  </si>
  <si>
    <t>%</t>
  </si>
  <si>
    <t>CHAVE</t>
  </si>
  <si>
    <t>Moderado</t>
  </si>
  <si>
    <t>Agressivo</t>
  </si>
  <si>
    <t>ctrl + enter</t>
  </si>
  <si>
    <t>para escribir lo mismo en toda la selección</t>
  </si>
  <si>
    <t>Moderado·TIJOLO</t>
  </si>
  <si>
    <t>MODERADO</t>
  </si>
  <si>
    <t>Sugestões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</si>
</sst>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6" formatCode="0.000%"/>
    <numFmt numFmtId="167" formatCode="#,##0.00\ &quot;€&quot;"/>
    <numFmt numFmtId="168" formatCode="#,##0.000\ &quot;€&quot;;[Red]\-#,##0.0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3"/>
      <color theme="1"/>
      <name val="Segoe UI"/>
      <family val="2"/>
    </font>
    <font>
      <b/>
      <sz val="14"/>
      <color theme="0"/>
      <name val="Segoe UI"/>
      <family val="2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5" borderId="0" xfId="0" applyFont="1" applyFill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0" fontId="7" fillId="0" borderId="0" xfId="0" applyFont="1"/>
    <xf numFmtId="0" fontId="5" fillId="3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left" vertical="center" indent="3"/>
    </xf>
    <xf numFmtId="0" fontId="6" fillId="0" borderId="10" xfId="0" applyFont="1" applyBorder="1" applyAlignment="1">
      <alignment horizontal="left" vertical="center" indent="3"/>
    </xf>
    <xf numFmtId="167" fontId="8" fillId="0" borderId="2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6" fontId="8" fillId="0" borderId="4" xfId="2" applyNumberFormat="1" applyFont="1" applyBorder="1" applyAlignment="1">
      <alignment horizontal="center" vertical="center"/>
    </xf>
    <xf numFmtId="0" fontId="10" fillId="0" borderId="0" xfId="0" applyFont="1"/>
    <xf numFmtId="10" fontId="7" fillId="0" borderId="4" xfId="0" applyNumberFormat="1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2" fillId="2" borderId="0" xfId="3"/>
    <xf numFmtId="0" fontId="2" fillId="2" borderId="0" xfId="3" applyAlignment="1">
      <alignment horizontal="center"/>
    </xf>
    <xf numFmtId="9" fontId="0" fillId="0" borderId="0" xfId="2" applyFont="1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167" fontId="0" fillId="4" borderId="0" xfId="0" applyNumberFormat="1" applyFill="1" applyAlignment="1">
      <alignment horizontal="center"/>
    </xf>
    <xf numFmtId="0" fontId="6" fillId="4" borderId="0" xfId="0" applyFont="1" applyFill="1" applyBorder="1" applyAlignment="1">
      <alignment horizontal="left" vertical="center" indent="3"/>
    </xf>
    <xf numFmtId="0" fontId="6" fillId="4" borderId="10" xfId="0" applyFont="1" applyFill="1" applyBorder="1" applyAlignment="1">
      <alignment horizontal="left" vertical="center" indent="3"/>
    </xf>
    <xf numFmtId="0" fontId="9" fillId="4" borderId="0" xfId="0" applyFont="1" applyFill="1" applyBorder="1" applyAlignment="1">
      <alignment horizontal="left" vertical="center" indent="3"/>
    </xf>
    <xf numFmtId="0" fontId="9" fillId="4" borderId="10" xfId="0" applyFont="1" applyFill="1" applyBorder="1" applyAlignment="1">
      <alignment horizontal="left" vertical="center" indent="3"/>
    </xf>
    <xf numFmtId="8" fontId="8" fillId="4" borderId="4" xfId="0" applyNumberFormat="1" applyFont="1" applyFill="1" applyBorder="1" applyAlignment="1">
      <alignment horizontal="center" vertical="center"/>
    </xf>
    <xf numFmtId="168" fontId="8" fillId="4" borderId="6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3"/>
    </xf>
    <xf numFmtId="167" fontId="7" fillId="4" borderId="7" xfId="0" applyNumberFormat="1" applyFont="1" applyFill="1" applyBorder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indent="3"/>
    </xf>
    <xf numFmtId="167" fontId="7" fillId="4" borderId="8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indent="3"/>
    </xf>
    <xf numFmtId="167" fontId="7" fillId="4" borderId="9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9" fontId="0" fillId="0" borderId="11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11" xfId="2" applyFont="1" applyFill="1" applyBorder="1" applyAlignment="1">
      <alignment horizontal="center"/>
    </xf>
    <xf numFmtId="9" fontId="12" fillId="2" borderId="0" xfId="2" applyFont="1" applyFill="1"/>
    <xf numFmtId="168" fontId="7" fillId="4" borderId="6" xfId="0" applyNumberFormat="1" applyFont="1" applyFill="1" applyBorder="1" applyAlignment="1">
      <alignment horizontal="center" vertical="center"/>
    </xf>
  </cellXfs>
  <cellStyles count="4">
    <cellStyle name="Moneda" xfId="1" builtinId="4"/>
    <cellStyle name="Neutral" xfId="3" builtinId="2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Controle!$C$35</c:f>
              <c:strCache>
                <c:ptCount val="1"/>
                <c:pt idx="0">
                  <c:v>Percentual Sugestão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Controle!$B$36:$B$41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Controle!$C$36:$C$41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6-47EE-A8EC-5723933907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211582</xdr:colOff>
      <xdr:row>0</xdr:row>
      <xdr:rowOff>282355</xdr:rowOff>
    </xdr:from>
    <xdr:to>
      <xdr:col>4</xdr:col>
      <xdr:colOff>197069</xdr:colOff>
      <xdr:row>8</xdr:row>
      <xdr:rowOff>186026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469"/>
        <a:stretch/>
      </xdr:blipFill>
      <xdr:spPr>
        <a:xfrm>
          <a:off x="211582" y="282355"/>
          <a:ext cx="9017815" cy="2268499"/>
        </a:xfrm>
        <a:prstGeom prst="rect">
          <a:avLst/>
        </a:prstGeom>
      </xdr:spPr>
    </xdr:pic>
    <xdr:clientData/>
  </xdr:twoCellAnchor>
  <xdr:twoCellAnchor>
    <xdr:from>
      <xdr:col>1</xdr:col>
      <xdr:colOff>2216728</xdr:colOff>
      <xdr:row>43</xdr:row>
      <xdr:rowOff>117763</xdr:rowOff>
    </xdr:from>
    <xdr:to>
      <xdr:col>2</xdr:col>
      <xdr:colOff>1783774</xdr:colOff>
      <xdr:row>58</xdr:row>
      <xdr:rowOff>3463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showGridLines="0" tabSelected="1" topLeftCell="A33" zoomScale="55" zoomScaleNormal="60" workbookViewId="0">
      <selection activeCell="B64" sqref="B64"/>
    </sheetView>
  </sheetViews>
  <sheetFormatPr baseColWidth="10" defaultColWidth="0" defaultRowHeight="15" x14ac:dyDescent="0.25"/>
  <cols>
    <col min="1" max="1" width="5.140625" customWidth="1"/>
    <col min="2" max="2" width="75" customWidth="1"/>
    <col min="3" max="4" width="27.5703125" customWidth="1"/>
    <col min="5" max="5" width="6.5703125" customWidth="1"/>
    <col min="6" max="8" width="11.42578125" hidden="1" customWidth="1"/>
    <col min="9" max="16384" width="11.42578125" hidden="1"/>
  </cols>
  <sheetData>
    <row r="1" spans="2:4" ht="23.25" customHeight="1" x14ac:dyDescent="0.25"/>
    <row r="2" spans="2:4" ht="23.25" customHeight="1" x14ac:dyDescent="0.25"/>
    <row r="3" spans="2:4" ht="23.25" customHeight="1" x14ac:dyDescent="0.25"/>
    <row r="4" spans="2:4" ht="23.25" customHeight="1" x14ac:dyDescent="0.25"/>
    <row r="5" spans="2:4" ht="23.25" customHeight="1" x14ac:dyDescent="0.25"/>
    <row r="6" spans="2:4" ht="23.25" customHeight="1" x14ac:dyDescent="0.25"/>
    <row r="7" spans="2:4" ht="23.25" customHeight="1" x14ac:dyDescent="0.25"/>
    <row r="8" spans="2:4" ht="23.25" customHeight="1" x14ac:dyDescent="0.25"/>
    <row r="11" spans="2:4" ht="30.75" x14ac:dyDescent="0.25">
      <c r="B11" s="5" t="s">
        <v>18</v>
      </c>
      <c r="C11" s="5"/>
      <c r="D11" s="5"/>
    </row>
    <row r="12" spans="2:4" s="3" customFormat="1" ht="22.5" customHeight="1" x14ac:dyDescent="0.25">
      <c r="B12" s="25" t="s">
        <v>15</v>
      </c>
      <c r="C12" s="26"/>
      <c r="D12" s="6">
        <v>4200</v>
      </c>
    </row>
    <row r="13" spans="2:4" s="3" customFormat="1" ht="22.5" customHeight="1" x14ac:dyDescent="0.25">
      <c r="B13" s="25" t="s">
        <v>14</v>
      </c>
      <c r="C13" s="26"/>
      <c r="D13" s="16">
        <v>6.0000000000000001E-3</v>
      </c>
    </row>
    <row r="14" spans="2:4" s="3" customFormat="1" ht="22.5" customHeight="1" x14ac:dyDescent="0.25">
      <c r="B14" s="25" t="s">
        <v>40</v>
      </c>
      <c r="C14" s="26"/>
      <c r="D14" s="7">
        <f>salario*30%</f>
        <v>1260</v>
      </c>
    </row>
    <row r="15" spans="2:4" ht="16.5" x14ac:dyDescent="0.3">
      <c r="B15" s="8"/>
      <c r="C15" s="8"/>
      <c r="D15" s="8"/>
    </row>
    <row r="16" spans="2:4" ht="42" customHeight="1" x14ac:dyDescent="0.25">
      <c r="B16" s="9" t="s">
        <v>0</v>
      </c>
      <c r="C16" s="9"/>
      <c r="D16" s="9"/>
    </row>
    <row r="17" spans="1:5" s="3" customFormat="1" ht="22.5" customHeight="1" x14ac:dyDescent="0.25">
      <c r="B17" s="10" t="s">
        <v>1</v>
      </c>
      <c r="C17" s="11"/>
      <c r="D17" s="12">
        <v>1260</v>
      </c>
    </row>
    <row r="18" spans="1:5" s="3" customFormat="1" ht="22.5" customHeight="1" x14ac:dyDescent="0.25">
      <c r="B18" s="10" t="s">
        <v>2</v>
      </c>
      <c r="C18" s="11"/>
      <c r="D18" s="13">
        <v>10</v>
      </c>
    </row>
    <row r="19" spans="1:5" s="3" customFormat="1" ht="22.5" customHeight="1" x14ac:dyDescent="0.25">
      <c r="B19" s="10" t="s">
        <v>3</v>
      </c>
      <c r="C19" s="11"/>
      <c r="D19" s="14">
        <v>1.0789999999999999E-2</v>
      </c>
    </row>
    <row r="20" spans="1:5" s="3" customFormat="1" ht="22.5" customHeight="1" x14ac:dyDescent="0.25">
      <c r="B20" s="27" t="s">
        <v>4</v>
      </c>
      <c r="C20" s="28"/>
      <c r="D20" s="29">
        <f>FV(taxa_mensal,qtd_anos*12,D17*-1)</f>
        <v>306538.10778801696</v>
      </c>
      <c r="E20" s="3" t="s">
        <v>6</v>
      </c>
    </row>
    <row r="21" spans="1:5" s="3" customFormat="1" ht="22.5" customHeight="1" x14ac:dyDescent="0.25">
      <c r="B21" s="27" t="s">
        <v>5</v>
      </c>
      <c r="C21" s="28"/>
      <c r="D21" s="30">
        <f>patrimonio*rendimento_carteira</f>
        <v>1839.2286467281017</v>
      </c>
    </row>
    <row r="22" spans="1:5" ht="18.75" x14ac:dyDescent="0.35">
      <c r="B22" s="15"/>
      <c r="C22" s="8"/>
      <c r="D22" s="8"/>
    </row>
    <row r="23" spans="1:5" ht="30.75" x14ac:dyDescent="0.25">
      <c r="B23" s="9" t="s">
        <v>12</v>
      </c>
      <c r="C23" s="9"/>
      <c r="D23" s="17" t="s">
        <v>13</v>
      </c>
    </row>
    <row r="24" spans="1:5" s="3" customFormat="1" ht="22.5" customHeight="1" x14ac:dyDescent="0.25">
      <c r="A24" s="4">
        <v>2</v>
      </c>
      <c r="B24" s="31" t="s">
        <v>7</v>
      </c>
      <c r="C24" s="32">
        <f>FV($D$19,$A24*12,$D$17*-1)</f>
        <v>34306.810395032975</v>
      </c>
      <c r="D24" s="33">
        <f>C24*rendimento_carteira</f>
        <v>205.84086237019787</v>
      </c>
    </row>
    <row r="25" spans="1:5" s="3" customFormat="1" ht="22.5" customHeight="1" x14ac:dyDescent="0.25">
      <c r="A25" s="4">
        <v>5</v>
      </c>
      <c r="B25" s="34" t="s">
        <v>8</v>
      </c>
      <c r="C25" s="35">
        <f>FV($D$19,$A25*12,$D$17*-1)</f>
        <v>105558.91163809443</v>
      </c>
      <c r="D25" s="33">
        <f>C25*rendimento_carteira</f>
        <v>633.35346982856663</v>
      </c>
    </row>
    <row r="26" spans="1:5" s="3" customFormat="1" ht="22.5" customHeight="1" x14ac:dyDescent="0.25">
      <c r="A26" s="4">
        <v>10</v>
      </c>
      <c r="B26" s="34" t="s">
        <v>9</v>
      </c>
      <c r="C26" s="35">
        <f>FV($D$19,$A26*12,$D$17*-1)</f>
        <v>306538.10778801696</v>
      </c>
      <c r="D26" s="33">
        <f>C26*rendimento_carteira</f>
        <v>1839.2286467281017</v>
      </c>
    </row>
    <row r="27" spans="1:5" s="3" customFormat="1" ht="22.5" customHeight="1" x14ac:dyDescent="0.25">
      <c r="A27" s="4">
        <v>20</v>
      </c>
      <c r="B27" s="34" t="s">
        <v>10</v>
      </c>
      <c r="C27" s="35">
        <f>FV($D$19,$A27*12,$D$17*-1)</f>
        <v>1417749.9841223215</v>
      </c>
      <c r="D27" s="33">
        <f>C27*rendimento_carteira</f>
        <v>8506.4999047339297</v>
      </c>
    </row>
    <row r="28" spans="1:5" s="3" customFormat="1" ht="22.5" customHeight="1" x14ac:dyDescent="0.25">
      <c r="A28" s="4">
        <v>30</v>
      </c>
      <c r="B28" s="36" t="s">
        <v>11</v>
      </c>
      <c r="C28" s="37">
        <f>FV($D$19,$A28*12,$D$17*-1)</f>
        <v>5445933.7653059401</v>
      </c>
      <c r="D28" s="44">
        <f>C28*rendimento_carteira</f>
        <v>32675.602591835643</v>
      </c>
    </row>
    <row r="32" spans="1:5" x14ac:dyDescent="0.25">
      <c r="B32" s="18" t="s">
        <v>19</v>
      </c>
      <c r="C32" s="19" t="s">
        <v>39</v>
      </c>
      <c r="D32" s="19"/>
    </row>
    <row r="33" spans="2:4" x14ac:dyDescent="0.25">
      <c r="B33" s="2" t="s">
        <v>20</v>
      </c>
      <c r="C33" s="24">
        <f>aporte</f>
        <v>1260</v>
      </c>
      <c r="D33" s="2"/>
    </row>
    <row r="35" spans="2:4" x14ac:dyDescent="0.25">
      <c r="B35" s="21" t="s">
        <v>21</v>
      </c>
      <c r="C35" s="21" t="s">
        <v>23</v>
      </c>
      <c r="D35" s="21" t="s">
        <v>24</v>
      </c>
    </row>
    <row r="36" spans="2:4" x14ac:dyDescent="0.25">
      <c r="B36" s="1" t="s">
        <v>22</v>
      </c>
      <c r="C36" s="20">
        <f>VLOOKUP($C$32&amp;"·"&amp;B36,'Tabela de apoio'!$A:$D,4,FALSE)</f>
        <v>0.32</v>
      </c>
      <c r="D36" s="24">
        <f>C36*$C$33</f>
        <v>403.2</v>
      </c>
    </row>
    <row r="37" spans="2:4" x14ac:dyDescent="0.25">
      <c r="B37" s="1" t="s">
        <v>25</v>
      </c>
      <c r="C37" s="20">
        <f>VLOOKUP($C$32&amp;"·"&amp;B37,'Tabela de apoio'!$A:$D,4,FALSE)</f>
        <v>0.35</v>
      </c>
      <c r="D37" s="24">
        <f t="shared" ref="D37:D41" si="0">C37*$C$33</f>
        <v>441</v>
      </c>
    </row>
    <row r="38" spans="2:4" x14ac:dyDescent="0.25">
      <c r="B38" s="1" t="s">
        <v>26</v>
      </c>
      <c r="C38" s="20">
        <f>VLOOKUP($C$32&amp;"·"&amp;B38,'Tabela de apoio'!$A:$D,4,FALSE)</f>
        <v>0.08</v>
      </c>
      <c r="D38" s="24">
        <f t="shared" si="0"/>
        <v>100.8</v>
      </c>
    </row>
    <row r="39" spans="2:4" x14ac:dyDescent="0.25">
      <c r="B39" s="1" t="s">
        <v>27</v>
      </c>
      <c r="C39" s="20">
        <f>VLOOKUP($C$32&amp;"·"&amp;B39,'Tabela de apoio'!$A:$D,4,FALSE)</f>
        <v>0.05</v>
      </c>
      <c r="D39" s="24">
        <f t="shared" si="0"/>
        <v>63</v>
      </c>
    </row>
    <row r="40" spans="2:4" x14ac:dyDescent="0.25">
      <c r="B40" s="1" t="s">
        <v>28</v>
      </c>
      <c r="C40" s="20">
        <f>VLOOKUP($C$32&amp;"·"&amp;B40,'Tabela de apoio'!$A:$D,4,FALSE)</f>
        <v>0.1</v>
      </c>
      <c r="D40" s="24">
        <f t="shared" si="0"/>
        <v>126</v>
      </c>
    </row>
    <row r="41" spans="2:4" x14ac:dyDescent="0.25">
      <c r="B41" s="1" t="s">
        <v>29</v>
      </c>
      <c r="C41" s="20">
        <f>VLOOKUP($C$32&amp;"·"&amp;B41,'Tabela de apoio'!$A:$D,4,FALSE)</f>
        <v>0.1</v>
      </c>
      <c r="D41" s="24">
        <f t="shared" si="0"/>
        <v>126</v>
      </c>
    </row>
    <row r="42" spans="2:4" x14ac:dyDescent="0.25">
      <c r="B42" s="22"/>
      <c r="C42" s="23"/>
      <c r="D42" s="23"/>
    </row>
  </sheetData>
  <mergeCells count="11">
    <mergeCell ref="B16:D16"/>
    <mergeCell ref="B11:D11"/>
    <mergeCell ref="B12:C12"/>
    <mergeCell ref="B13:C13"/>
    <mergeCell ref="B14:C14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>
      <formula1>"CONSERVADOR,MODERADO,AGRESSIVO"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zoomScale="90" workbookViewId="0">
      <selection activeCell="D13" sqref="D13"/>
    </sheetView>
  </sheetViews>
  <sheetFormatPr baseColWidth="10" defaultRowHeight="15" x14ac:dyDescent="0.25"/>
  <cols>
    <col min="1" max="1" width="30.85546875" bestFit="1" customWidth="1"/>
    <col min="2" max="2" width="12.140625" bestFit="1" customWidth="1"/>
    <col min="3" max="3" width="18.85546875" bestFit="1" customWidth="1"/>
    <col min="6" max="6" width="4.140625" customWidth="1"/>
    <col min="7" max="7" width="17" bestFit="1" customWidth="1"/>
  </cols>
  <sheetData>
    <row r="2" spans="1:8" x14ac:dyDescent="0.25">
      <c r="A2" t="s">
        <v>33</v>
      </c>
      <c r="B2" s="1" t="s">
        <v>30</v>
      </c>
      <c r="C2" s="1" t="s">
        <v>21</v>
      </c>
      <c r="D2" s="1" t="s">
        <v>32</v>
      </c>
    </row>
    <row r="3" spans="1:8" x14ac:dyDescent="0.25">
      <c r="A3" t="str">
        <f>B3&amp;"·"&amp;C3</f>
        <v>Conservador·PAPEL</v>
      </c>
      <c r="B3" t="s">
        <v>31</v>
      </c>
      <c r="C3" s="1" t="s">
        <v>22</v>
      </c>
      <c r="D3" s="20">
        <v>0.3</v>
      </c>
    </row>
    <row r="4" spans="1:8" x14ac:dyDescent="0.25">
      <c r="A4" t="str">
        <f t="shared" ref="A4:A20" si="0">B4&amp;"·"&amp;C4</f>
        <v>Conservador·TIJOLO</v>
      </c>
      <c r="B4" t="s">
        <v>31</v>
      </c>
      <c r="C4" s="1" t="s">
        <v>25</v>
      </c>
      <c r="D4" s="20">
        <v>0.5</v>
      </c>
      <c r="G4" s="18" t="s">
        <v>38</v>
      </c>
      <c r="H4" s="43">
        <f>VLOOKUP(G4,$A:$D,4,FALSE)</f>
        <v>0.35</v>
      </c>
    </row>
    <row r="5" spans="1:8" x14ac:dyDescent="0.25">
      <c r="A5" t="str">
        <f t="shared" si="0"/>
        <v>Conservador·HÍBRIDOS</v>
      </c>
      <c r="B5" t="s">
        <v>31</v>
      </c>
      <c r="C5" s="1" t="s">
        <v>26</v>
      </c>
      <c r="D5" s="20">
        <v>0.1</v>
      </c>
    </row>
    <row r="6" spans="1:8" x14ac:dyDescent="0.25">
      <c r="A6" t="str">
        <f t="shared" si="0"/>
        <v>Conservador·FOFs</v>
      </c>
      <c r="B6" t="s">
        <v>31</v>
      </c>
      <c r="C6" s="1" t="s">
        <v>27</v>
      </c>
      <c r="D6" s="20">
        <v>0.1</v>
      </c>
    </row>
    <row r="7" spans="1:8" x14ac:dyDescent="0.25">
      <c r="A7" t="str">
        <f t="shared" si="0"/>
        <v>Conservador·DESENVOLVIMENTO</v>
      </c>
      <c r="B7" t="s">
        <v>31</v>
      </c>
      <c r="C7" s="1" t="s">
        <v>28</v>
      </c>
      <c r="D7" s="20">
        <v>0</v>
      </c>
    </row>
    <row r="8" spans="1:8" ht="15.75" thickBot="1" x14ac:dyDescent="0.3">
      <c r="A8" s="38" t="str">
        <f t="shared" si="0"/>
        <v>Conservador·HOTELARIAS</v>
      </c>
      <c r="B8" s="38" t="s">
        <v>31</v>
      </c>
      <c r="C8" s="39" t="s">
        <v>29</v>
      </c>
      <c r="D8" s="40">
        <v>0</v>
      </c>
    </row>
    <row r="9" spans="1:8" x14ac:dyDescent="0.25">
      <c r="A9" t="str">
        <f t="shared" si="0"/>
        <v>Moderado·PAPEL</v>
      </c>
      <c r="B9" t="s">
        <v>34</v>
      </c>
      <c r="C9" s="1" t="s">
        <v>22</v>
      </c>
      <c r="D9" s="41">
        <v>0.32</v>
      </c>
    </row>
    <row r="10" spans="1:8" x14ac:dyDescent="0.25">
      <c r="A10" t="str">
        <f t="shared" si="0"/>
        <v>Moderado·TIJOLO</v>
      </c>
      <c r="B10" t="s">
        <v>34</v>
      </c>
      <c r="C10" s="1" t="s">
        <v>25</v>
      </c>
      <c r="D10" s="41">
        <v>0.35</v>
      </c>
    </row>
    <row r="11" spans="1:8" x14ac:dyDescent="0.25">
      <c r="A11" t="str">
        <f t="shared" si="0"/>
        <v>Moderado·HÍBRIDOS</v>
      </c>
      <c r="B11" t="s">
        <v>34</v>
      </c>
      <c r="C11" s="1" t="s">
        <v>26</v>
      </c>
      <c r="D11" s="41">
        <v>0.08</v>
      </c>
    </row>
    <row r="12" spans="1:8" x14ac:dyDescent="0.25">
      <c r="A12" t="str">
        <f t="shared" si="0"/>
        <v>Moderado·FOFs</v>
      </c>
      <c r="B12" t="s">
        <v>34</v>
      </c>
      <c r="C12" s="1" t="s">
        <v>27</v>
      </c>
      <c r="D12" s="41">
        <v>0.05</v>
      </c>
    </row>
    <row r="13" spans="1:8" x14ac:dyDescent="0.25">
      <c r="A13" t="str">
        <f t="shared" si="0"/>
        <v>Moderado·DESENVOLVIMENTO</v>
      </c>
      <c r="B13" t="s">
        <v>34</v>
      </c>
      <c r="C13" s="1" t="s">
        <v>28</v>
      </c>
      <c r="D13" s="41">
        <v>0.1</v>
      </c>
    </row>
    <row r="14" spans="1:8" ht="15.75" thickBot="1" x14ac:dyDescent="0.3">
      <c r="A14" s="38" t="str">
        <f t="shared" si="0"/>
        <v>Moderado·HOTELARIAS</v>
      </c>
      <c r="B14" s="38" t="s">
        <v>34</v>
      </c>
      <c r="C14" s="39" t="s">
        <v>29</v>
      </c>
      <c r="D14" s="42">
        <v>0.1</v>
      </c>
    </row>
    <row r="15" spans="1:8" x14ac:dyDescent="0.25">
      <c r="A15" t="str">
        <f t="shared" si="0"/>
        <v>Agressivo·PAPEL</v>
      </c>
      <c r="B15" t="s">
        <v>35</v>
      </c>
      <c r="C15" s="1" t="s">
        <v>22</v>
      </c>
      <c r="D15" s="41">
        <v>0.5</v>
      </c>
    </row>
    <row r="16" spans="1:8" x14ac:dyDescent="0.25">
      <c r="A16" t="str">
        <f t="shared" si="0"/>
        <v>Agressivo·TIJOLO</v>
      </c>
      <c r="B16" t="s">
        <v>35</v>
      </c>
      <c r="C16" s="1" t="s">
        <v>25</v>
      </c>
      <c r="D16" s="41">
        <v>0.1</v>
      </c>
    </row>
    <row r="17" spans="1:4" x14ac:dyDescent="0.25">
      <c r="A17" t="str">
        <f t="shared" si="0"/>
        <v>Agressivo·HÍBRIDOS</v>
      </c>
      <c r="B17" t="s">
        <v>35</v>
      </c>
      <c r="C17" s="1" t="s">
        <v>26</v>
      </c>
      <c r="D17" s="41">
        <v>0.05</v>
      </c>
    </row>
    <row r="18" spans="1:4" x14ac:dyDescent="0.25">
      <c r="A18" t="str">
        <f t="shared" si="0"/>
        <v>Agressivo·FOFs</v>
      </c>
      <c r="B18" t="s">
        <v>35</v>
      </c>
      <c r="C18" s="1" t="s">
        <v>27</v>
      </c>
      <c r="D18" s="41">
        <v>0.05</v>
      </c>
    </row>
    <row r="19" spans="1:4" x14ac:dyDescent="0.25">
      <c r="A19" t="str">
        <f t="shared" si="0"/>
        <v>Agressivo·DESENVOLVIMENTO</v>
      </c>
      <c r="B19" t="s">
        <v>35</v>
      </c>
      <c r="C19" s="1" t="s">
        <v>28</v>
      </c>
      <c r="D19" s="41">
        <v>0.2</v>
      </c>
    </row>
    <row r="20" spans="1:4" x14ac:dyDescent="0.25">
      <c r="A20" t="str">
        <f t="shared" si="0"/>
        <v>Agressivo·HOTELARIAS</v>
      </c>
      <c r="B20" t="s">
        <v>35</v>
      </c>
      <c r="C20" s="1" t="s">
        <v>29</v>
      </c>
      <c r="D20" s="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36</v>
      </c>
      <c r="B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Controle</vt:lpstr>
      <vt:lpstr>Tabela de apoio</vt:lpstr>
      <vt:lpstr>TRUQUITOS</vt:lpstr>
      <vt:lpstr>aporte</vt:lpstr>
      <vt:lpstr>patrimonio</vt:lpstr>
      <vt:lpstr>qtd_anos</vt:lpstr>
      <vt:lpstr>rendimento_carteira</vt:lpstr>
      <vt:lpstr>salario</vt:lpstr>
      <vt:lpstr>sugestão_investimento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Nau</dc:creator>
  <cp:lastModifiedBy>La Nau</cp:lastModifiedBy>
  <dcterms:created xsi:type="dcterms:W3CDTF">2026-02-10T11:49:21Z</dcterms:created>
  <dcterms:modified xsi:type="dcterms:W3CDTF">2026-02-10T16:48:36Z</dcterms:modified>
</cp:coreProperties>
</file>